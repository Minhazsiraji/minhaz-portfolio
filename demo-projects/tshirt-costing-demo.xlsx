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e4f36202b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ing Demo" sheetId="1" r:id="R895622303680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0"/>
    <x:numFmt numFmtId="201" formatCode="0.0%"/>
    <x:numFmt numFmtId="202" formatCode="0.00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8544C"/>
      <x:name val="Carlito"/>
    </x:font>
    <x:font>
      <x:b/>
      <x:sz val="11"/>
      <x:color rgb="FF1422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sz val="9"/>
      <x:color rgb="FF594715"/>
      <x:name val="Carlito"/>
    </x:font>
    <x:font>
      <x:b/>
      <x:sz val="18"/>
      <x:color rgb="FFFFFFFF"/>
      <x:name val="Aptos"/>
    </x:font>
    <x:font>
      <x:i/>
      <x:sz val="11"/>
      <x:color rgb="FF38544C"/>
      <x:name val="Aptos"/>
    </x:font>
    <x:font>
      <x:sz val="11"/>
      <x:name val="Aptos"/>
    </x:font>
    <x:font>
      <x:b/>
      <x:sz val="11"/>
      <x:color rgb="FF14221F"/>
      <x:name val="Aptos"/>
    </x:font>
    <x:font>
      <x:b/>
      <x:sz val="11"/>
      <x:name val="Aptos"/>
    </x:font>
    <x:font>
      <x:b/>
      <x:sz val="14"/>
      <x:color rgb="FFFFFFFF"/>
      <x:name val="Aptos"/>
    </x:font>
    <x:font>
      <x:b/>
      <x:sz val="11"/>
      <x:color rgb="FFFFFFFF"/>
      <x:name val="Aptos"/>
    </x:font>
    <x:font>
      <x:sz val="9"/>
      <x:color rgb="FF59471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C34"/>
      </x:patternFill>
    </x:fill>
    <x:fill>
      <x:patternFill patternType="solid">
        <x:fgColor rgb="FFDCEAE5"/>
      </x:patternFill>
    </x:fill>
    <x:fill>
      <x:patternFill patternType="solid">
        <x:fgColor rgb="FFD8A84E"/>
      </x:patternFill>
    </x:fill>
    <x:fill>
      <x:patternFill patternType="solid">
        <x:fgColor rgb="FFFFF2CC"/>
      </x:patternFill>
    </x:fill>
    <x:fill>
      <x:patternFill patternType="solid">
        <x:fgColor rgb="FFF4F7F5"/>
      </x:patternFill>
    </x:fill>
    <x:fill>
      <x:patternFill patternType="solid">
        <x:fgColor rgb="FFF1E7D0"/>
      </x:patternFill>
    </x:fill>
  </x:fills>
  <x:borders count="7">
    <x:border/>
    <x:border>
      <x:right style="thin">
        <x:color rgb="FFB8CBC5"/>
      </x:right>
    </x:border>
    <x:border>
      <x:left style="thin">
        <x:color rgb="FFB8CBC5"/>
      </x:left>
      <x:right style="thin">
        <x:color rgb="FFB8CBC5"/>
      </x:right>
    </x:border>
    <x:border>
      <x:left style="thin">
        <x:color rgb="FFB8CBC5"/>
      </x:left>
    </x:border>
    <x:border>
      <x:bottom style="thin">
        <x:color rgb="FFE1E7E4"/>
      </x:bottom>
    </x:border>
    <x:border>
      <x:top style="thin">
        <x:color rgb="FFE1E7E4"/>
      </x:top>
      <x:bottom style="thin">
        <x:color rgb="FFE1E7E4"/>
      </x:bottom>
    </x:border>
    <x:border>
      <x:top style="thin">
        <x:color rgb="FFE1E7E4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0" fontId="5" fillId="2" borderId="0" xfId="0" applyNumberFormat="1" applyFont="1" applyFill="1" applyBorder="1"/>
    <x:xf numFmtId="200" fontId="6" fillId="2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4" xfId="0" applyNumberFormat="1" applyFont="1" applyFill="1" applyBorder="1"/>
    <x:xf numFmtId="202" fontId="0" fillId="5" borderId="4" xfId="0" applyNumberFormat="1" applyFont="1" applyFill="1" applyBorder="1"/>
    <x:xf numFmtId="0" fontId="0" fillId="5" borderId="4" xfId="0" applyNumberFormat="1" applyFont="1" applyFill="1" applyBorder="1"/>
    <x:xf numFmtId="200" fontId="0" fillId="5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0" fillId="5" borderId="5" xfId="0" applyNumberFormat="1" applyFont="1" applyFill="1" applyBorder="1"/>
    <x:xf numFmtId="0" fontId="0" fillId="5" borderId="5" xfId="0" applyNumberFormat="1" applyFont="1" applyFill="1" applyBorder="1"/>
    <x:xf numFmtId="200" fontId="0" fillId="5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5" borderId="6" xfId="0" applyNumberFormat="1" applyFont="1" applyFill="1" applyBorder="1"/>
    <x:xf numFmtId="0" fontId="0" fillId="5" borderId="6" xfId="0" applyNumberFormat="1" applyFont="1" applyFill="1" applyBorder="1"/>
    <x:xf numFmtId="200" fontId="0" fillId="5" borderId="6" xfId="0" applyNumberFormat="1" applyFont="1" applyFill="1" applyBorder="1"/>
    <x:xf numFmtId="200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/>
    <x:xf numFmtId="0" fontId="10" fillId="5" borderId="0" xfId="0" applyNumberFormat="1" applyFont="1" applyFill="1" applyBorder="1"/>
    <x:xf numFmtId="200" fontId="12" fillId="6" borderId="0" xfId="0" applyNumberFormat="1" applyFont="1" applyFill="1" applyBorder="1"/>
    <x:xf numFmtId="201" fontId="10" fillId="5" borderId="0" xfId="0" applyNumberFormat="1" applyFont="1" applyFill="1" applyBorder="1"/>
    <x:xf numFmtId="20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0" fillId="0" borderId="4" xfId="0" applyNumberFormat="1" applyFont="1" applyFill="1" applyBorder="1"/>
    <x:xf numFmtId="202" fontId="10" fillId="5" borderId="4" xfId="0" applyNumberFormat="1" applyFont="1" applyFill="1" applyBorder="1"/>
    <x:xf numFmtId="0" fontId="10" fillId="5" borderId="4" xfId="0" applyNumberFormat="1" applyFont="1" applyFill="1" applyBorder="1"/>
    <x:xf numFmtId="200" fontId="10" fillId="5" borderId="4" xfId="0" applyNumberFormat="1" applyFont="1" applyFill="1" applyBorder="1"/>
    <x:xf numFmtId="200" fontId="10" fillId="0" borderId="4" xfId="0" applyNumberFormat="1" applyFont="1" applyFill="1" applyBorder="1"/>
    <x:xf numFmtId="0" fontId="10" fillId="0" borderId="5" xfId="0" applyNumberFormat="1" applyFont="1" applyFill="1" applyBorder="1"/>
    <x:xf numFmtId="202" fontId="10" fillId="5" borderId="5" xfId="0" applyNumberFormat="1" applyFont="1" applyFill="1" applyBorder="1"/>
    <x:xf numFmtId="0" fontId="10" fillId="5" borderId="5" xfId="0" applyNumberFormat="1" applyFont="1" applyFill="1" applyBorder="1"/>
    <x:xf numFmtId="200" fontId="10" fillId="5" borderId="5" xfId="0" applyNumberFormat="1" applyFont="1" applyFill="1" applyBorder="1"/>
    <x:xf numFmtId="200" fontId="10" fillId="0" borderId="5" xfId="0" applyNumberFormat="1" applyFont="1" applyFill="1" applyBorder="1"/>
    <x:xf numFmtId="0" fontId="10" fillId="0" borderId="6" xfId="0" applyNumberFormat="1" applyFont="1" applyFill="1" applyBorder="1"/>
    <x:xf numFmtId="202" fontId="10" fillId="5" borderId="6" xfId="0" applyNumberFormat="1" applyFont="1" applyFill="1" applyBorder="1"/>
    <x:xf numFmtId="0" fontId="10" fillId="5" borderId="6" xfId="0" applyNumberFormat="1" applyFont="1" applyFill="1" applyBorder="1"/>
    <x:xf numFmtId="200" fontId="10" fillId="5" borderId="6" xfId="0" applyNumberFormat="1" applyFont="1" applyFill="1" applyBorder="1"/>
    <x:xf numFmtId="200" fontId="10" fillId="0" borderId="6" xfId="0" applyNumberFormat="1" applyFont="1" applyFill="1" applyBorder="1"/>
    <x:xf numFmtId="0" fontId="15" fillId="7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0" fontId="12" fillId="6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0" fontId="13" fillId="2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3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202" fontId="10" fillId="5" borderId="4" xfId="0" applyNumberFormat="1" applyFont="1" applyFill="1" applyBorder="1" applyAlignment="1">
      <x:alignment vertical="center"/>
    </x:xf>
    <x:xf numFmtId="0" fontId="10" fillId="5" borderId="4" xfId="0" applyNumberFormat="1" applyFont="1" applyFill="1" applyBorder="1" applyAlignment="1">
      <x:alignment vertical="center"/>
    </x:xf>
    <x:xf numFmtId="200" fontId="10" fillId="5" borderId="4" xfId="0" applyNumberFormat="1" applyFont="1" applyFill="1" applyBorder="1" applyAlignment="1">
      <x:alignment vertical="center"/>
    </x:xf>
    <x:xf numFmtId="20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202" fontId="10" fillId="5" borderId="5" xfId="0" applyNumberFormat="1" applyFont="1" applyFill="1" applyBorder="1" applyAlignment="1">
      <x:alignment vertical="center"/>
    </x:xf>
    <x:xf numFmtId="0" fontId="10" fillId="5" borderId="5" xfId="0" applyNumberFormat="1" applyFont="1" applyFill="1" applyBorder="1" applyAlignment="1">
      <x:alignment vertical="center"/>
    </x:xf>
    <x:xf numFmtId="200" fontId="10" fillId="5" borderId="5" xfId="0" applyNumberFormat="1" applyFont="1" applyFill="1" applyBorder="1" applyAlignment="1">
      <x:alignment vertical="center"/>
    </x:xf>
    <x:xf numFmtId="200" fontId="10" fillId="0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202" fontId="10" fillId="5" borderId="6" xfId="0" applyNumberFormat="1" applyFont="1" applyFill="1" applyBorder="1" applyAlignment="1">
      <x:alignment vertical="center"/>
    </x:xf>
    <x:xf numFmtId="0" fontId="10" fillId="5" borderId="6" xfId="0" applyNumberFormat="1" applyFont="1" applyFill="1" applyBorder="1" applyAlignment="1">
      <x:alignment vertical="center"/>
    </x:xf>
    <x:xf numFmtId="200" fontId="10" fillId="5" borderId="6" xfId="0" applyNumberFormat="1" applyFont="1" applyFill="1" applyBorder="1" applyAlignment="1">
      <x:alignment vertical="center"/>
    </x:xf>
    <x:xf numFmtId="200" fontId="1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5cdd5d8b64328" /><Relationship Type="http://schemas.openxmlformats.org/officeDocument/2006/relationships/theme" Target="/xl/theme/theme1.xml" Id="Rb674817eda924e96" /><Relationship Type="http://schemas.openxmlformats.org/officeDocument/2006/relationships/sharedStrings" Target="/xl/sharedStrings.xml" Id="R3ed7db8eb19d4a4c" /><Relationship Type="http://schemas.openxmlformats.org/officeDocument/2006/relationships/worksheet" Target="/xl/worksheets/sheet1.xml" Id="R895622303680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3" hidden="0" customWidth="1"/>
    <x:col min="8" max="8" width="3" hidden="0" customWidth="1"/>
  </x:cols>
  <x:sheetData>
    <x:row r="1" ht="34" customHeight="1">
      <x:c r="A1" s="42" t="str">
        <x:v>BASIC T-SHIRT COSTING · FICTIONAL DEMO</x:v>
      </x:c>
      <x:c r="B1" s="42"/>
      <x:c r="C1" s="42"/>
      <x:c r="D1" s="42"/>
      <x:c r="E1" s="42"/>
      <x:c r="F1" s="42"/>
    </x:row>
    <x:row r="2">
      <x:c r="A2" s="43" t="str">
        <x:v>Editable assumptions are shaded pale yellow. All names, rates and quantities are fictional.</x:v>
      </x:c>
      <x:c r="B2" s="43"/>
      <x:c r="C2" s="43"/>
      <x:c r="D2" s="43"/>
      <x:c r="E2" s="43"/>
      <x:c r="F2" s="43"/>
    </x:row>
    <x:row r="3">
      <x:c r="A3" s="44"/>
      <x:c r="B3" s="44"/>
      <x:c r="C3" s="44"/>
      <x:c r="D3" s="44"/>
      <x:c r="E3" s="44"/>
      <x:c r="F3" s="44"/>
    </x:row>
    <x:row r="4">
      <x:c r="A4" s="70" t="str">
        <x:v>Style Profile</x:v>
      </x:c>
      <x:c r="B4" s="70" t="str">
        <x:v>Input</x:v>
      </x:c>
      <x:c r="C4" s="71"/>
      <x:c r="D4" s="70" t="str">
        <x:v>Cost Summary</x:v>
      </x:c>
      <x:c r="E4" s="70" t="str">
        <x:v>USD / pc</x:v>
      </x:c>
      <x:c r="F4" s="71"/>
    </x:row>
    <x:row r="5">
      <x:c r="A5" s="71" t="str">
        <x:v>Style reference</x:v>
      </x:c>
      <x:c r="B5" s="72" t="str">
        <x:v>DEMO-TS-001</x:v>
      </x:c>
      <x:c r="C5" s="71"/>
      <x:c r="D5" s="71" t="str">
        <x:v>Fabric</x:v>
      </x:c>
      <x:c r="E5" s="73" t="n">
        <x:f>SUMIF($A$15:$A$24,D5,$F$15:$F$24)</x:f>
        <x:v>1.1205</x:v>
      </x:c>
      <x:c r="F5" s="71"/>
    </x:row>
    <x:row r="6">
      <x:c r="A6" s="71" t="str">
        <x:v>Description</x:v>
      </x:c>
      <x:c r="B6" s="72" t="str">
        <x:v>Men's crew-neck short-sleeve T-shirt</x:v>
      </x:c>
      <x:c r="C6" s="71"/>
      <x:c r="D6" s="71" t="str">
        <x:v>Trims &amp; packing</x:v>
      </x:c>
      <x:c r="E6" s="73" t="n">
        <x:f>SUMIF($A$15:$A$24,D6,$F$15:$F$24)</x:f>
        <x:v>0.175</x:v>
      </x:c>
      <x:c r="F6" s="71"/>
    </x:row>
    <x:row r="7">
      <x:c r="A7" s="71" t="str">
        <x:v>Order quantity (pcs)</x:v>
      </x:c>
      <x:c r="B7" s="72" t="n">
        <x:v>5000</x:v>
      </x:c>
      <x:c r="C7" s="71"/>
      <x:c r="D7" s="71" t="str">
        <x:v>Cut &amp; make</x:v>
      </x:c>
      <x:c r="E7" s="73" t="n">
        <x:f>SUMIF($A$15:$A$24,D7,$F$15:$F$24)</x:f>
        <x:v>0.75</x:v>
      </x:c>
      <x:c r="F7" s="71"/>
    </x:row>
    <x:row r="8">
      <x:c r="A8" s="71" t="str">
        <x:v>Fabric GSM</x:v>
      </x:c>
      <x:c r="B8" s="72" t="n">
        <x:v>180</x:v>
      </x:c>
      <x:c r="C8" s="71"/>
      <x:c r="D8" s="71" t="str">
        <x:v>Testing / other</x:v>
      </x:c>
      <x:c r="E8" s="73" t="n">
        <x:f>SUMIF($A$15:$A$24,D8,$F$15:$F$24)</x:f>
        <x:v>0.08</x:v>
      </x:c>
      <x:c r="F8" s="71"/>
    </x:row>
    <x:row r="9">
      <x:c r="A9" s="71" t="str">
        <x:v>Target margin</x:v>
      </x:c>
      <x:c r="B9" s="74" t="n">
        <x:v>0.12</x:v>
      </x:c>
      <x:c r="C9" s="71"/>
      <x:c r="D9" s="71" t="str">
        <x:v>Overhead</x:v>
      </x:c>
      <x:c r="E9" s="73" t="n">
        <x:f>SUMIF($A$15:$A$24,D9,$F$15:$F$24)</x:f>
        <x:v>0.27</x:v>
      </x:c>
      <x:c r="F9" s="71"/>
    </x:row>
    <x:row r="10">
      <x:c r="A10" s="71" t="str">
        <x:v>Currency</x:v>
      </x:c>
      <x:c r="B10" s="72" t="str">
        <x:v>USD</x:v>
      </x:c>
      <x:c r="C10" s="71"/>
      <x:c r="D10" s="71" t="str">
        <x:v>Cost before margin</x:v>
      </x:c>
      <x:c r="E10" s="73" t="n">
        <x:f>SUM(E5:E9)</x:f>
        <x:v>2.3955</x:v>
      </x:c>
      <x:c r="F10" s="71"/>
    </x:row>
    <x:row r="11">
      <x:c r="A11" s="71"/>
      <x:c r="B11" s="71"/>
      <x:c r="C11" s="71"/>
      <x:c r="D11" s="71" t="str">
        <x:v>Indicative FOB</x:v>
      </x:c>
      <x:c r="E11" s="75" t="n">
        <x:f>E10/(1-$B$9)</x:f>
        <x:v>2.722159090909091</x:v>
      </x:c>
      <x:c r="F11" s="71"/>
    </x:row>
    <x:row r="12">
      <x:c r="A12" s="71"/>
      <x:c r="B12" s="71"/>
      <x:c r="C12" s="71"/>
      <x:c r="D12" s="71"/>
      <x:c r="E12" s="71"/>
      <x:c r="F12" s="71"/>
    </x:row>
    <x:row r="13">
      <x:c r="A13" s="76" t="str">
        <x:v>COST COMPONENTS</x:v>
      </x:c>
      <x:c r="B13" s="76"/>
      <x:c r="C13" s="76"/>
      <x:c r="D13" s="76"/>
      <x:c r="E13" s="76"/>
      <x:c r="F13" s="76"/>
    </x:row>
    <x:row r="14">
      <x:c r="A14" s="77" t="str">
        <x:v>Cost group</x:v>
      </x:c>
      <x:c r="B14" s="78" t="str">
        <x:v>Item</x:v>
      </x:c>
      <x:c r="C14" s="78" t="str">
        <x:v>Consumption / pc</x:v>
      </x:c>
      <x:c r="D14" s="78" t="str">
        <x:v>UOM</x:v>
      </x:c>
      <x:c r="E14" s="78" t="str">
        <x:v>Rate (USD)</x:v>
      </x:c>
      <x:c r="F14" s="79" t="str">
        <x:v>Cost / pc</x:v>
      </x:c>
    </x:row>
    <x:row r="15">
      <x:c r="A15" s="80" t="str">
        <x:v>Fabric</x:v>
      </x:c>
      <x:c r="B15" s="80" t="str">
        <x:v>Cotton single jersey</x:v>
      </x:c>
      <x:c r="C15" s="81" t="n">
        <x:v>0.24</x:v>
      </x:c>
      <x:c r="D15" s="82" t="str">
        <x:v>kg</x:v>
      </x:c>
      <x:c r="E15" s="83" t="n">
        <x:v>4.2</x:v>
      </x:c>
      <x:c r="F15" s="84" t="n">
        <x:f>C15*E15</x:f>
        <x:v>1.008</x:v>
      </x:c>
    </x:row>
    <x:row r="16">
      <x:c r="A16" s="85" t="str">
        <x:v>Fabric</x:v>
      </x:c>
      <x:c r="B16" s="85" t="str">
        <x:v>Rib</x:v>
      </x:c>
      <x:c r="C16" s="86" t="n">
        <x:v>0.025</x:v>
      </x:c>
      <x:c r="D16" s="87" t="str">
        <x:v>kg</x:v>
      </x:c>
      <x:c r="E16" s="88" t="n">
        <x:v>4.5</x:v>
      </x:c>
      <x:c r="F16" s="89" t="n">
        <x:f>C16*E16</x:f>
        <x:v>0.1125</x:v>
      </x:c>
    </x:row>
    <x:row r="17">
      <x:c r="A17" s="85" t="str">
        <x:v>Trims &amp; packing</x:v>
      </x:c>
      <x:c r="B17" s="85" t="str">
        <x:v>Main label</x:v>
      </x:c>
      <x:c r="C17" s="86" t="n">
        <x:v>1</x:v>
      </x:c>
      <x:c r="D17" s="87" t="str">
        <x:v>pc</x:v>
      </x:c>
      <x:c r="E17" s="88" t="n">
        <x:v>0.04</x:v>
      </x:c>
      <x:c r="F17" s="89" t="n">
        <x:f>C17*E17</x:f>
        <x:v>0.04</x:v>
      </x:c>
    </x:row>
    <x:row r="18">
      <x:c r="A18" s="85" t="str">
        <x:v>Trims &amp; packing</x:v>
      </x:c>
      <x:c r="B18" s="85" t="str">
        <x:v>Care label</x:v>
      </x:c>
      <x:c r="C18" s="86" t="n">
        <x:v>1</x:v>
      </x:c>
      <x:c r="D18" s="87" t="str">
        <x:v>pc</x:v>
      </x:c>
      <x:c r="E18" s="88" t="n">
        <x:v>0.025</x:v>
      </x:c>
      <x:c r="F18" s="89" t="n">
        <x:f>C18*E18</x:f>
        <x:v>0.025</x:v>
      </x:c>
    </x:row>
    <x:row r="19">
      <x:c r="A19" s="85" t="str">
        <x:v>Trims &amp; packing</x:v>
      </x:c>
      <x:c r="B19" s="85" t="str">
        <x:v>Hangtag</x:v>
      </x:c>
      <x:c r="C19" s="86" t="n">
        <x:v>1</x:v>
      </x:c>
      <x:c r="D19" s="87" t="str">
        <x:v>pc</x:v>
      </x:c>
      <x:c r="E19" s="88" t="n">
        <x:v>0.06</x:v>
      </x:c>
      <x:c r="F19" s="89" t="n">
        <x:f>C19*E19</x:f>
        <x:v>0.06</x:v>
      </x:c>
    </x:row>
    <x:row r="20">
      <x:c r="A20" s="85" t="str">
        <x:v>Trims &amp; packing</x:v>
      </x:c>
      <x:c r="B20" s="85" t="str">
        <x:v>Polybag</x:v>
      </x:c>
      <x:c r="C20" s="86" t="n">
        <x:v>1</x:v>
      </x:c>
      <x:c r="D20" s="87" t="str">
        <x:v>pc</x:v>
      </x:c>
      <x:c r="E20" s="88" t="n">
        <x:v>0.05</x:v>
      </x:c>
      <x:c r="F20" s="89" t="n">
        <x:f>C20*E20</x:f>
        <x:v>0.05</x:v>
      </x:c>
    </x:row>
    <x:row r="21">
      <x:c r="A21" s="85" t="str">
        <x:v>Cut &amp; make</x:v>
      </x:c>
      <x:c r="B21" s="85" t="str">
        <x:v>Cutting, sewing &amp; finishing</x:v>
      </x:c>
      <x:c r="C21" s="86" t="n">
        <x:v>1</x:v>
      </x:c>
      <x:c r="D21" s="87" t="str">
        <x:v>pc</x:v>
      </x:c>
      <x:c r="E21" s="88" t="n">
        <x:v>0.75</x:v>
      </x:c>
      <x:c r="F21" s="89" t="n">
        <x:f>C21*E21</x:f>
        <x:v>0.75</x:v>
      </x:c>
    </x:row>
    <x:row r="22">
      <x:c r="A22" s="85" t="str">
        <x:v>Testing / other</x:v>
      </x:c>
      <x:c r="B22" s="85" t="str">
        <x:v>Testing allocation</x:v>
      </x:c>
      <x:c r="C22" s="86" t="n">
        <x:v>1</x:v>
      </x:c>
      <x:c r="D22" s="87" t="str">
        <x:v>pc</x:v>
      </x:c>
      <x:c r="E22" s="88" t="n">
        <x:v>0.08</x:v>
      </x:c>
      <x:c r="F22" s="89" t="n">
        <x:f>C22*E22</x:f>
        <x:v>0.08</x:v>
      </x:c>
    </x:row>
    <x:row r="23">
      <x:c r="A23" s="85" t="str">
        <x:v>Overhead</x:v>
      </x:c>
      <x:c r="B23" s="85" t="str">
        <x:v>Commercial allocation</x:v>
      </x:c>
      <x:c r="C23" s="86" t="n">
        <x:v>1</x:v>
      </x:c>
      <x:c r="D23" s="87" t="str">
        <x:v>pc</x:v>
      </x:c>
      <x:c r="E23" s="88" t="n">
        <x:v>0.12</x:v>
      </x:c>
      <x:c r="F23" s="89" t="n">
        <x:f>C23*E23</x:f>
        <x:v>0.12</x:v>
      </x:c>
    </x:row>
    <x:row r="24">
      <x:c r="A24" s="90" t="str">
        <x:v>Overhead</x:v>
      </x:c>
      <x:c r="B24" s="90" t="str">
        <x:v>Operational overhead</x:v>
      </x:c>
      <x:c r="C24" s="91" t="n">
        <x:v>1</x:v>
      </x:c>
      <x:c r="D24" s="92" t="str">
        <x:v>pc</x:v>
      </x:c>
      <x:c r="E24" s="93" t="n">
        <x:v>0.15</x:v>
      </x:c>
      <x:c r="F24" s="94" t="n">
        <x:f>C24*E24</x:f>
        <x:v>0.15</x:v>
      </x:c>
    </x:row>
    <x:row r="25">
      <x:c r="A25" s="44"/>
      <x:c r="B25" s="44"/>
      <x:c r="C25" s="44"/>
      <x:c r="D25" s="44"/>
      <x:c r="E25" s="44"/>
      <x:c r="F25" s="44"/>
    </x:row>
    <x:row r="26" ht="58" customHeight="1">
      <x:c r="A26" s="69" t="str">
        <x:v>Important: This is a simplified portfolio demonstration, not a quotation. A production costing must be validated against the approved tech pack, marker/consumption, supplier quotations, incoterms, compliance, testing, finance, logistics, and commercial requirements.</x:v>
      </x:c>
      <x:c r="B26" s="69"/>
      <x:c r="C26" s="69"/>
      <x:c r="D26" s="69"/>
      <x:c r="E26" s="69"/>
      <x:c r="F26" s="69"/>
    </x:row>
  </x:sheetData>
  <x:mergeCells>
    <x:mergeCell ref="A1:F1"/>
    <x:mergeCell ref="A2:F2"/>
    <x:mergeCell ref="A13:F13"/>
    <x:mergeCell ref="A26:F26"/>
  </x:mergeCells>
  <x:pageMargins left="0.7" right="0.7" top="0.75" bottom="0.75" header="0.3" footer="0.3"/>
</x:worksheet>
</file>